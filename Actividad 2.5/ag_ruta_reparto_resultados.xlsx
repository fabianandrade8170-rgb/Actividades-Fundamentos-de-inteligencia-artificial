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nvergencia" sheetId="2" state="visible" r:id="rId4"/>
    <sheet name="Validación semillas" sheetId="3" state="visible" r:id="rId5"/>
    <sheet name="Parámetr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<sst xmlns="http://schemas.openxmlformats.org/spreadsheetml/2006/main" count="97" uniqueCount="95">
  <si>
    <t xml:space="preserve">Optimización de ruta de reparto con Algoritmo Genético (DEAP)</t>
  </si>
  <si>
    <t xml:space="preserve">TSP con 25 clientes y 1 almacén · semilla 42 · 30 generaciones · población 200</t>
  </si>
  <si>
    <t xml:space="preserve">Método</t>
  </si>
  <si>
    <t xml:space="preserve">Distancia total (km)</t>
  </si>
  <si>
    <t xml:space="preserve">Mejora del AG vs. este método</t>
  </si>
  <si>
    <t xml:space="preserve">Ruta aleatoria (promedio de 1000)</t>
  </si>
  <si>
    <t xml:space="preserve">Vecino más cercano (heurística voraz)</t>
  </si>
  <si>
    <t xml:space="preserve">Algoritmo genético (30 generaciones)</t>
  </si>
  <si>
    <t xml:space="preserve">—</t>
  </si>
  <si>
    <t xml:space="preserve">Lectura de la evolución</t>
  </si>
  <si>
    <t xml:space="preserve">Indicador</t>
  </si>
  <si>
    <t xml:space="preserve">Valor</t>
  </si>
  <si>
    <t xml:space="preserve">Nota</t>
  </si>
  <si>
    <t xml:space="preserve">Mejor ruta en la generación 0 (km)</t>
  </si>
  <si>
    <t xml:space="preserve">Ya incluye la siembra con la heurística voraz y sus variantes</t>
  </si>
  <si>
    <t xml:space="preserve">Mejor ruta en la generación 30 (km)</t>
  </si>
  <si>
    <t xml:space="preserve">Resultado final del AG</t>
  </si>
  <si>
    <t xml:space="preserve">Mejora ganada durante la evolución</t>
  </si>
  <si>
    <t xml:space="preserve">Parte de la mejora atribuible a las 30 generaciones del AG</t>
  </si>
  <si>
    <t xml:space="preserve">Mejora de la siembra frente a la voraz</t>
  </si>
  <si>
    <t xml:space="preserve">Parte de la ventaja que ya traía la población inicial</t>
  </si>
  <si>
    <t xml:space="preserve">Mejor ruta encontrada</t>
  </si>
  <si>
    <t xml:space="preserve">0 → 23 → 8 → 13 → 20 → 11 → 9 → 24 → 15 → 10 → 14 → 6 → 19 → 18 → 2 → 7 → 22 → 3 → 21 → 16 → 5 → 12 → 4 → 17 → 25 → 1 → 0</t>
  </si>
  <si>
    <t xml:space="preserve">Notas:</t>
  </si>
  <si>
    <t xml:space="preserve">• Azul = dato ingresado (salida de ag_ruta_reparto.py); negro = fórmula; verde = vínculo a otra hoja.</t>
  </si>
  <si>
    <t xml:space="preserve">• Coordenadas sintéticas (zona de 20 × 20 km, almacén al centro). Fuente: ejecución propia del script con SEMILLA = 42.</t>
  </si>
  <si>
    <t xml:space="preserve">• 'Ruta aleatoria' es el promedio de 1000 rutas al azar, no una sola ruta.</t>
  </si>
  <si>
    <t xml:space="preserve">Convergencia por generación (km)</t>
  </si>
  <si>
    <t xml:space="preserve">Generación</t>
  </si>
  <si>
    <t xml:space="preserve">Mejor</t>
  </si>
  <si>
    <t xml:space="preserve">Promedio</t>
  </si>
  <si>
    <t xml:space="preserve">Peor</t>
  </si>
  <si>
    <t xml:space="preserve">Mejora acumulada del mejor vs. gen 0</t>
  </si>
  <si>
    <t xml:space="preserve">Mínimo</t>
  </si>
  <si>
    <t xml:space="preserve">Máximo</t>
  </si>
  <si>
    <t xml:space="preserve">Fuente: salida de consola de ag_ruta_reparto.py (SEMILLA = 42). El mejor nunca empeora por el elitismo (2 individuos).</t>
  </si>
  <si>
    <t xml:space="preserve">Validación: AG vs. heurística voraz en 6 semillas</t>
  </si>
  <si>
    <t xml:space="preserve">Cada semilla genera además un mapa de clientes distinto.</t>
  </si>
  <si>
    <t xml:space="preserve">Semilla</t>
  </si>
  <si>
    <t xml:space="preserve">Voraz (km)</t>
  </si>
  <si>
    <t xml:space="preserve">AG (km)</t>
  </si>
  <si>
    <t xml:space="preserve">Ahorro del AG (km)</t>
  </si>
  <si>
    <t xml:space="preserve">Mejora del AG (%)</t>
  </si>
  <si>
    <t xml:space="preserve">¿AG gana?</t>
  </si>
  <si>
    <t xml:space="preserve">Resumen</t>
  </si>
  <si>
    <t xml:space="preserve">Semillas probadas</t>
  </si>
  <si>
    <t xml:space="preserve">Veces que el AG gana</t>
  </si>
  <si>
    <t xml:space="preserve">Mejora promedio</t>
  </si>
  <si>
    <t xml:space="preserve">Mejora mínima</t>
  </si>
  <si>
    <t xml:space="preserve">Mejora máxima</t>
  </si>
  <si>
    <t xml:space="preserve">Ahorro promedio (km)</t>
  </si>
  <si>
    <t xml:space="preserve">Con solo 6 semillas es una muestra pequeña; para un análisis formal, promediar 30 semillas y reportar desviación estándar.</t>
  </si>
  <si>
    <t xml:space="preserve">Configuración del algoritmo genético</t>
  </si>
  <si>
    <t xml:space="preserve">Parámetro</t>
  </si>
  <si>
    <t xml:space="preserve">Descripción</t>
  </si>
  <si>
    <t xml:space="preserve">N_CLIENTES</t>
  </si>
  <si>
    <t xml:space="preserve">Paradas de reparto (sin contar el almacén)</t>
  </si>
  <si>
    <t xml:space="preserve">TAM_POBLACION</t>
  </si>
  <si>
    <t xml:space="preserve">Individuos (rutas) por generación</t>
  </si>
  <si>
    <t xml:space="preserve">N_GENERACIONES</t>
  </si>
  <si>
    <t xml:space="preserve">Generaciones evolucionadas</t>
  </si>
  <si>
    <t xml:space="preserve">P_CRUCE</t>
  </si>
  <si>
    <t xml:space="preserve">Probabilidad de cruzar cada pareja</t>
  </si>
  <si>
    <t xml:space="preserve">P_MUTACION</t>
  </si>
  <si>
    <t xml:space="preserve">Probabilidad de mutar un individuo (antes 0.2)</t>
  </si>
  <si>
    <t xml:space="preserve">TAM_TORNEO</t>
  </si>
  <si>
    <t xml:space="preserve">Individuos que compiten en cada torneo</t>
  </si>
  <si>
    <t xml:space="preserve">N_ELITE</t>
  </si>
  <si>
    <t xml:space="preserve">Mejores individuos que pasan intactos</t>
  </si>
  <si>
    <t xml:space="preserve">FRAC_SEMBRADA</t>
  </si>
  <si>
    <t xml:space="preserve">Fracción de la población inicial derivada de la ruta voraz</t>
  </si>
  <si>
    <t xml:space="preserve">Individuos sembrados</t>
  </si>
  <si>
    <t xml:space="preserve">Calculado: TAM_POBLACION × FRAC_SEMBRADA</t>
  </si>
  <si>
    <t xml:space="preserve">Componente</t>
  </si>
  <si>
    <t xml:space="preserve">Elección</t>
  </si>
  <si>
    <t xml:space="preserve">Justificación</t>
  </si>
  <si>
    <t xml:space="preserve">Cromosoma</t>
  </si>
  <si>
    <t xml:space="preserve">Permutación de 0..N-1</t>
  </si>
  <si>
    <t xml:space="preserve">Cada cliente aparece una vez; el gen g representa al cliente g+1</t>
  </si>
  <si>
    <t xml:space="preserve">Fitness</t>
  </si>
  <si>
    <t xml:space="preserve">Distancia total (minimizar)</t>
  </si>
  <si>
    <t xml:space="preserve">Almacén → clientes en orden → almacén; weights = (-1.0,)</t>
  </si>
  <si>
    <t xml:space="preserve">Selección</t>
  </si>
  <si>
    <t xml:space="preserve">selTournament</t>
  </si>
  <si>
    <t xml:space="preserve">Presión selectiva sin perder diversidad</t>
  </si>
  <si>
    <t xml:space="preserve">Cruce</t>
  </si>
  <si>
    <t xml:space="preserve">cxOrdered</t>
  </si>
  <si>
    <t xml:space="preserve">Los hijos siempre son permutaciones válidas</t>
  </si>
  <si>
    <t xml:space="preserve">Mutación</t>
  </si>
  <si>
    <t xml:space="preserve">Inversión de segmento</t>
  </si>
  <si>
    <t xml:space="preserve">Equivale a 2-opt: elimina cruces entre aristas (antes: mutShuffleIndexes)</t>
  </si>
  <si>
    <t xml:space="preserve">Elitismo</t>
  </si>
  <si>
    <t xml:space="preserve">HallOfFame (2)</t>
  </si>
  <si>
    <t xml:space="preserve">El mejor resultado nunca empeora</t>
  </si>
  <si>
    <t xml:space="preserve">Azul = valor editable tal como está en ag_ruta_reparto.py. Cambiar estas celdas no re-ejecuta el AG; solo documenta la configuración.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</si>
</sst>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Convergencia del 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Convergencia!B2</c:f>
              <c:strCache>
                <c:ptCount val="1"/>
                <c:pt idx="0">
                  <c:v>Mejor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Convergencia!$A$3:$A$33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Convergencia!$B$3:$B$33</c:f>
              <c:numCache>
                <c:formatCode>0.00</c:formatCode>
                <c:ptCount val="31"/>
                <c:pt idx="0">
                  <c:v>101.3</c:v>
                </c:pt>
                <c:pt idx="1">
                  <c:v>101.3</c:v>
                </c:pt>
                <c:pt idx="2">
                  <c:v>99.77</c:v>
                </c:pt>
                <c:pt idx="3">
                  <c:v>99.77</c:v>
                </c:pt>
                <c:pt idx="4">
                  <c:v>99.77</c:v>
                </c:pt>
                <c:pt idx="5">
                  <c:v>99.77</c:v>
                </c:pt>
                <c:pt idx="6">
                  <c:v>99.77</c:v>
                </c:pt>
                <c:pt idx="7">
                  <c:v>99.77</c:v>
                </c:pt>
                <c:pt idx="8">
                  <c:v>99.77</c:v>
                </c:pt>
                <c:pt idx="9">
                  <c:v>99.77</c:v>
                </c:pt>
                <c:pt idx="10">
                  <c:v>99.77</c:v>
                </c:pt>
                <c:pt idx="11">
                  <c:v>99.77</c:v>
                </c:pt>
                <c:pt idx="12">
                  <c:v>99.77</c:v>
                </c:pt>
                <c:pt idx="13">
                  <c:v>99.77</c:v>
                </c:pt>
                <c:pt idx="14">
                  <c:v>99.77</c:v>
                </c:pt>
                <c:pt idx="15">
                  <c:v>99.77</c:v>
                </c:pt>
                <c:pt idx="16">
                  <c:v>99.77</c:v>
                </c:pt>
                <c:pt idx="17">
                  <c:v>99.77</c:v>
                </c:pt>
                <c:pt idx="18">
                  <c:v>99.77</c:v>
                </c:pt>
                <c:pt idx="19">
                  <c:v>99.77</c:v>
                </c:pt>
                <c:pt idx="20">
                  <c:v>99.77</c:v>
                </c:pt>
                <c:pt idx="21">
                  <c:v>99.77</c:v>
                </c:pt>
                <c:pt idx="22">
                  <c:v>99.77</c:v>
                </c:pt>
                <c:pt idx="23">
                  <c:v>99.77</c:v>
                </c:pt>
                <c:pt idx="24">
                  <c:v>99.77</c:v>
                </c:pt>
                <c:pt idx="25">
                  <c:v>99.77</c:v>
                </c:pt>
                <c:pt idx="26">
                  <c:v>97.79</c:v>
                </c:pt>
                <c:pt idx="27">
                  <c:v>97.79</c:v>
                </c:pt>
                <c:pt idx="28">
                  <c:v>97.79</c:v>
                </c:pt>
                <c:pt idx="29">
                  <c:v>97.79</c:v>
                </c:pt>
                <c:pt idx="30">
                  <c:v>97.79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Convergencia!C2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Convergencia!$A$3:$A$33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Convergencia!$C$3:$C$33</c:f>
              <c:numCache>
                <c:formatCode>0.00</c:formatCode>
                <c:ptCount val="31"/>
                <c:pt idx="0">
                  <c:v>236.51</c:v>
                </c:pt>
                <c:pt idx="1">
                  <c:v>187.83</c:v>
                </c:pt>
                <c:pt idx="2">
                  <c:v>160.39</c:v>
                </c:pt>
                <c:pt idx="3">
                  <c:v>153.19</c:v>
                </c:pt>
                <c:pt idx="4">
                  <c:v>151.3</c:v>
                </c:pt>
                <c:pt idx="5">
                  <c:v>155.06</c:v>
                </c:pt>
                <c:pt idx="6">
                  <c:v>155.42</c:v>
                </c:pt>
                <c:pt idx="7">
                  <c:v>153.37</c:v>
                </c:pt>
                <c:pt idx="8">
                  <c:v>154.25</c:v>
                </c:pt>
                <c:pt idx="9">
                  <c:v>158.45</c:v>
                </c:pt>
                <c:pt idx="10">
                  <c:v>158.96</c:v>
                </c:pt>
                <c:pt idx="11">
                  <c:v>156.86</c:v>
                </c:pt>
                <c:pt idx="12">
                  <c:v>156.63</c:v>
                </c:pt>
                <c:pt idx="13">
                  <c:v>158.86</c:v>
                </c:pt>
                <c:pt idx="14">
                  <c:v>155.33</c:v>
                </c:pt>
                <c:pt idx="15">
                  <c:v>152.95</c:v>
                </c:pt>
                <c:pt idx="16">
                  <c:v>154.61</c:v>
                </c:pt>
                <c:pt idx="17">
                  <c:v>155.71</c:v>
                </c:pt>
                <c:pt idx="18">
                  <c:v>155.57</c:v>
                </c:pt>
                <c:pt idx="19">
                  <c:v>156</c:v>
                </c:pt>
                <c:pt idx="20">
                  <c:v>155.64</c:v>
                </c:pt>
                <c:pt idx="21">
                  <c:v>157.91</c:v>
                </c:pt>
                <c:pt idx="22">
                  <c:v>156.11</c:v>
                </c:pt>
                <c:pt idx="23">
                  <c:v>154.94</c:v>
                </c:pt>
                <c:pt idx="24">
                  <c:v>153.02</c:v>
                </c:pt>
                <c:pt idx="25">
                  <c:v>154.38</c:v>
                </c:pt>
                <c:pt idx="26">
                  <c:v>154.32</c:v>
                </c:pt>
                <c:pt idx="27">
                  <c:v>154.58</c:v>
                </c:pt>
                <c:pt idx="28">
                  <c:v>158.7</c:v>
                </c:pt>
                <c:pt idx="29">
                  <c:v>159.92</c:v>
                </c:pt>
                <c:pt idx="30">
                  <c:v>158.85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Convergencia!D2</c:f>
              <c:strCache>
                <c:ptCount val="1"/>
                <c:pt idx="0">
                  <c:v>Peor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Convergencia!$A$3:$A$33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Convergencia!$D$3:$D$33</c:f>
              <c:numCache>
                <c:formatCode>0.00</c:formatCode>
                <c:ptCount val="31"/>
                <c:pt idx="0">
                  <c:v>315.36</c:v>
                </c:pt>
                <c:pt idx="1">
                  <c:v>289.36</c:v>
                </c:pt>
                <c:pt idx="2">
                  <c:v>236.93</c:v>
                </c:pt>
                <c:pt idx="3">
                  <c:v>206.43</c:v>
                </c:pt>
                <c:pt idx="4">
                  <c:v>215.46</c:v>
                </c:pt>
                <c:pt idx="5">
                  <c:v>207.37</c:v>
                </c:pt>
                <c:pt idx="6">
                  <c:v>228.74</c:v>
                </c:pt>
                <c:pt idx="7">
                  <c:v>211.72</c:v>
                </c:pt>
                <c:pt idx="8">
                  <c:v>217.76</c:v>
                </c:pt>
                <c:pt idx="9">
                  <c:v>227.21</c:v>
                </c:pt>
                <c:pt idx="10">
                  <c:v>232.87</c:v>
                </c:pt>
                <c:pt idx="11">
                  <c:v>217.64</c:v>
                </c:pt>
                <c:pt idx="12">
                  <c:v>225.5</c:v>
                </c:pt>
                <c:pt idx="13">
                  <c:v>239.68</c:v>
                </c:pt>
                <c:pt idx="14">
                  <c:v>214.71</c:v>
                </c:pt>
                <c:pt idx="15">
                  <c:v>214.65</c:v>
                </c:pt>
                <c:pt idx="16">
                  <c:v>201.84</c:v>
                </c:pt>
                <c:pt idx="17">
                  <c:v>213.02</c:v>
                </c:pt>
                <c:pt idx="18">
                  <c:v>213.01</c:v>
                </c:pt>
                <c:pt idx="19">
                  <c:v>214.69</c:v>
                </c:pt>
                <c:pt idx="20">
                  <c:v>227.97</c:v>
                </c:pt>
                <c:pt idx="21">
                  <c:v>214.21</c:v>
                </c:pt>
                <c:pt idx="22">
                  <c:v>211.6</c:v>
                </c:pt>
                <c:pt idx="23">
                  <c:v>210.84</c:v>
                </c:pt>
                <c:pt idx="24">
                  <c:v>199.11</c:v>
                </c:pt>
                <c:pt idx="25">
                  <c:v>209.3</c:v>
                </c:pt>
                <c:pt idx="26">
                  <c:v>215.13</c:v>
                </c:pt>
                <c:pt idx="27">
                  <c:v>212.38</c:v>
                </c:pt>
                <c:pt idx="28">
                  <c:v>214.67</c:v>
                </c:pt>
                <c:pt idx="29">
                  <c:v>221.93</c:v>
                </c:pt>
                <c:pt idx="30">
                  <c:v>230.44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929839"/>
        <c:axId val="22193304"/>
      </c:lineChart>
      <c:catAx>
        <c:axId val="43929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Generación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93304"/>
        <c:crosses val="autoZero"/>
        <c:auto val="1"/>
        <c:lblAlgn val="ctr"/>
        <c:lblOffset val="100"/>
        <c:noMultiLvlLbl val="0"/>
      </c:catAx>
      <c:valAx>
        <c:axId val="22193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Distancia total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29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16</xdr:col>
      <xdr:colOff>4680</xdr:colOff>
      <xdr:row>16</xdr:row>
      <xdr:rowOff>9360</xdr:rowOff>
    </xdr:to>
    <xdr:graphicFrame>
      <xdr:nvGraphicFramePr>
        <xdr:cNvPr id="0" name="Chart 1"/>
        <xdr:cNvGraphicFramePr/>
      </xdr:nvGraphicFramePr>
      <xdr:xfrm>
        <a:off x="6250320" y="190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269.09</v>
      </c>
      <c r="C5" s="6" t="n">
        <f aca="false">(B5-$B$7)/B5</f>
        <v>0.636589988479691</v>
      </c>
    </row>
    <row r="6" customFormat="false" ht="15" hidden="false" customHeight="false" outlineLevel="0" collapsed="false">
      <c r="A6" s="4" t="s">
        <v>6</v>
      </c>
      <c r="B6" s="5" t="n">
        <v>107.45</v>
      </c>
      <c r="C6" s="6" t="n">
        <f aca="false">(B6-$B$7)/B6</f>
        <v>0.0899022801302931</v>
      </c>
    </row>
    <row r="7" customFormat="false" ht="15" hidden="false" customHeight="false" outlineLevel="0" collapsed="false">
      <c r="A7" s="7" t="s">
        <v>7</v>
      </c>
      <c r="B7" s="8" t="n">
        <f aca="false">Convergencia!B33</f>
        <v>97.79</v>
      </c>
      <c r="C7" s="9" t="s">
        <v>8</v>
      </c>
    </row>
    <row r="9" customFormat="false" ht="15" hidden="false" customHeight="false" outlineLevel="0" collapsed="false">
      <c r="A9" s="10" t="s">
        <v>9</v>
      </c>
    </row>
    <row r="10" customFormat="false" ht="15" hidden="false" customHeight="false" outlineLevel="0" collapsed="false">
      <c r="A10" s="3" t="s">
        <v>10</v>
      </c>
      <c r="B10" s="3" t="s">
        <v>11</v>
      </c>
      <c r="C10" s="3" t="s">
        <v>12</v>
      </c>
    </row>
    <row r="11" customFormat="false" ht="27.75" hidden="false" customHeight="true" outlineLevel="0" collapsed="false">
      <c r="A11" s="4" t="s">
        <v>13</v>
      </c>
      <c r="B11" s="11" t="n">
        <f aca="false">Convergencia!B3</f>
        <v>101.3</v>
      </c>
      <c r="C11" s="12" t="s">
        <v>14</v>
      </c>
    </row>
    <row r="12" customFormat="false" ht="27.75" hidden="false" customHeight="true" outlineLevel="0" collapsed="false">
      <c r="A12" s="4" t="s">
        <v>15</v>
      </c>
      <c r="B12" s="13" t="n">
        <f aca="false">B7</f>
        <v>97.79</v>
      </c>
      <c r="C12" s="12" t="s">
        <v>16</v>
      </c>
    </row>
    <row r="13" customFormat="false" ht="27.75" hidden="false" customHeight="true" outlineLevel="0" collapsed="false">
      <c r="A13" s="4" t="s">
        <v>17</v>
      </c>
      <c r="B13" s="6" t="n">
        <f aca="false">(B11-B12)/B11</f>
        <v>0.0346495557749259</v>
      </c>
      <c r="C13" s="12" t="s">
        <v>18</v>
      </c>
    </row>
    <row r="14" customFormat="false" ht="27.75" hidden="false" customHeight="true" outlineLevel="0" collapsed="false">
      <c r="A14" s="4" t="s">
        <v>19</v>
      </c>
      <c r="B14" s="6" t="n">
        <f aca="false">(B6-B11)/B6</f>
        <v>0.0572359236854351</v>
      </c>
      <c r="C14" s="12" t="s">
        <v>20</v>
      </c>
    </row>
    <row r="16" customFormat="false" ht="15" hidden="false" customHeight="false" outlineLevel="0" collapsed="false">
      <c r="A16" s="10" t="s">
        <v>21</v>
      </c>
    </row>
    <row r="17" customFormat="false" ht="42" hidden="false" customHeight="true" outlineLevel="0" collapsed="false">
      <c r="A17" s="12" t="s">
        <v>22</v>
      </c>
      <c r="B17" s="12"/>
      <c r="C17" s="12"/>
    </row>
    <row r="19" customFormat="false" ht="15" hidden="false" customHeight="false" outlineLevel="0" collapsed="false">
      <c r="A19" s="10" t="s">
        <v>23</v>
      </c>
    </row>
    <row r="20" customFormat="false" ht="15" hidden="false" customHeight="false" outlineLevel="0" collapsed="false">
      <c r="A20" s="2" t="s">
        <v>24</v>
      </c>
    </row>
    <row r="21" customFormat="false" ht="15" hidden="false" customHeight="false" outlineLevel="0" collapsed="false">
      <c r="A21" s="2" t="s">
        <v>25</v>
      </c>
    </row>
    <row r="22" customFormat="false" ht="15" hidden="false" customHeight="false" outlineLevel="0" collapsed="false">
      <c r="A22" s="2" t="s">
        <v>26</v>
      </c>
    </row>
  </sheetData>
  <mergeCells count="1"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27</v>
      </c>
    </row>
    <row r="2" customFormat="false" ht="42" hidden="false" customHeight="true" outlineLevel="0" collapsed="false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</row>
    <row r="3" customFormat="false" ht="15" hidden="false" customHeight="false" outlineLevel="0" collapsed="false">
      <c r="A3" s="14" t="n">
        <v>0</v>
      </c>
      <c r="B3" s="5" t="n">
        <v>101.3</v>
      </c>
      <c r="C3" s="5" t="n">
        <v>236.51</v>
      </c>
      <c r="D3" s="5" t="n">
        <v>315.36</v>
      </c>
      <c r="E3" s="6" t="n">
        <f aca="false">($B$3-B3)/$B$3</f>
        <v>0</v>
      </c>
    </row>
    <row r="4" customFormat="false" ht="15" hidden="false" customHeight="false" outlineLevel="0" collapsed="false">
      <c r="A4" s="14" t="n">
        <v>1</v>
      </c>
      <c r="B4" s="5" t="n">
        <v>101.3</v>
      </c>
      <c r="C4" s="5" t="n">
        <v>187.83</v>
      </c>
      <c r="D4" s="5" t="n">
        <v>289.36</v>
      </c>
      <c r="E4" s="6" t="n">
        <f aca="false">($B$3-B4)/$B$3</f>
        <v>0</v>
      </c>
    </row>
    <row r="5" customFormat="false" ht="15" hidden="false" customHeight="false" outlineLevel="0" collapsed="false">
      <c r="A5" s="14" t="n">
        <v>2</v>
      </c>
      <c r="B5" s="5" t="n">
        <v>99.77</v>
      </c>
      <c r="C5" s="5" t="n">
        <v>160.39</v>
      </c>
      <c r="D5" s="5" t="n">
        <v>236.93</v>
      </c>
      <c r="E5" s="6" t="n">
        <f aca="false">($B$3-B5)/$B$3</f>
        <v>0.0151036525172754</v>
      </c>
    </row>
    <row r="6" customFormat="false" ht="15" hidden="false" customHeight="false" outlineLevel="0" collapsed="false">
      <c r="A6" s="14" t="n">
        <v>3</v>
      </c>
      <c r="B6" s="5" t="n">
        <v>99.77</v>
      </c>
      <c r="C6" s="5" t="n">
        <v>153.19</v>
      </c>
      <c r="D6" s="5" t="n">
        <v>206.43</v>
      </c>
      <c r="E6" s="6" t="n">
        <f aca="false">($B$3-B6)/$B$3</f>
        <v>0.0151036525172754</v>
      </c>
    </row>
    <row r="7" customFormat="false" ht="15" hidden="false" customHeight="false" outlineLevel="0" collapsed="false">
      <c r="A7" s="14" t="n">
        <v>4</v>
      </c>
      <c r="B7" s="5" t="n">
        <v>99.77</v>
      </c>
      <c r="C7" s="5" t="n">
        <v>151.3</v>
      </c>
      <c r="D7" s="5" t="n">
        <v>215.46</v>
      </c>
      <c r="E7" s="6" t="n">
        <f aca="false">($B$3-B7)/$B$3</f>
        <v>0.0151036525172754</v>
      </c>
    </row>
    <row r="8" customFormat="false" ht="15" hidden="false" customHeight="false" outlineLevel="0" collapsed="false">
      <c r="A8" s="14" t="n">
        <v>5</v>
      </c>
      <c r="B8" s="5" t="n">
        <v>99.77</v>
      </c>
      <c r="C8" s="5" t="n">
        <v>155.06</v>
      </c>
      <c r="D8" s="5" t="n">
        <v>207.37</v>
      </c>
      <c r="E8" s="6" t="n">
        <f aca="false">($B$3-B8)/$B$3</f>
        <v>0.0151036525172754</v>
      </c>
    </row>
    <row r="9" customFormat="false" ht="15" hidden="false" customHeight="false" outlineLevel="0" collapsed="false">
      <c r="A9" s="14" t="n">
        <v>6</v>
      </c>
      <c r="B9" s="5" t="n">
        <v>99.77</v>
      </c>
      <c r="C9" s="5" t="n">
        <v>155.42</v>
      </c>
      <c r="D9" s="5" t="n">
        <v>228.74</v>
      </c>
      <c r="E9" s="6" t="n">
        <f aca="false">($B$3-B9)/$B$3</f>
        <v>0.0151036525172754</v>
      </c>
    </row>
    <row r="10" customFormat="false" ht="15" hidden="false" customHeight="false" outlineLevel="0" collapsed="false">
      <c r="A10" s="14" t="n">
        <v>7</v>
      </c>
      <c r="B10" s="5" t="n">
        <v>99.77</v>
      </c>
      <c r="C10" s="5" t="n">
        <v>153.37</v>
      </c>
      <c r="D10" s="5" t="n">
        <v>211.72</v>
      </c>
      <c r="E10" s="6" t="n">
        <f aca="false">($B$3-B10)/$B$3</f>
        <v>0.0151036525172754</v>
      </c>
    </row>
    <row r="11" customFormat="false" ht="15" hidden="false" customHeight="false" outlineLevel="0" collapsed="false">
      <c r="A11" s="14" t="n">
        <v>8</v>
      </c>
      <c r="B11" s="5" t="n">
        <v>99.77</v>
      </c>
      <c r="C11" s="5" t="n">
        <v>154.25</v>
      </c>
      <c r="D11" s="5" t="n">
        <v>217.76</v>
      </c>
      <c r="E11" s="6" t="n">
        <f aca="false">($B$3-B11)/$B$3</f>
        <v>0.0151036525172754</v>
      </c>
    </row>
    <row r="12" customFormat="false" ht="15" hidden="false" customHeight="false" outlineLevel="0" collapsed="false">
      <c r="A12" s="14" t="n">
        <v>9</v>
      </c>
      <c r="B12" s="5" t="n">
        <v>99.77</v>
      </c>
      <c r="C12" s="5" t="n">
        <v>158.45</v>
      </c>
      <c r="D12" s="5" t="n">
        <v>227.21</v>
      </c>
      <c r="E12" s="6" t="n">
        <f aca="false">($B$3-B12)/$B$3</f>
        <v>0.0151036525172754</v>
      </c>
    </row>
    <row r="13" customFormat="false" ht="15" hidden="false" customHeight="false" outlineLevel="0" collapsed="false">
      <c r="A13" s="14" t="n">
        <v>10</v>
      </c>
      <c r="B13" s="5" t="n">
        <v>99.77</v>
      </c>
      <c r="C13" s="5" t="n">
        <v>158.96</v>
      </c>
      <c r="D13" s="5" t="n">
        <v>232.87</v>
      </c>
      <c r="E13" s="6" t="n">
        <f aca="false">($B$3-B13)/$B$3</f>
        <v>0.0151036525172754</v>
      </c>
    </row>
    <row r="14" customFormat="false" ht="15" hidden="false" customHeight="false" outlineLevel="0" collapsed="false">
      <c r="A14" s="14" t="n">
        <v>11</v>
      </c>
      <c r="B14" s="5" t="n">
        <v>99.77</v>
      </c>
      <c r="C14" s="5" t="n">
        <v>156.86</v>
      </c>
      <c r="D14" s="5" t="n">
        <v>217.64</v>
      </c>
      <c r="E14" s="6" t="n">
        <f aca="false">($B$3-B14)/$B$3</f>
        <v>0.0151036525172754</v>
      </c>
    </row>
    <row r="15" customFormat="false" ht="15" hidden="false" customHeight="false" outlineLevel="0" collapsed="false">
      <c r="A15" s="14" t="n">
        <v>12</v>
      </c>
      <c r="B15" s="5" t="n">
        <v>99.77</v>
      </c>
      <c r="C15" s="5" t="n">
        <v>156.63</v>
      </c>
      <c r="D15" s="5" t="n">
        <v>225.5</v>
      </c>
      <c r="E15" s="6" t="n">
        <f aca="false">($B$3-B15)/$B$3</f>
        <v>0.0151036525172754</v>
      </c>
    </row>
    <row r="16" customFormat="false" ht="15" hidden="false" customHeight="false" outlineLevel="0" collapsed="false">
      <c r="A16" s="14" t="n">
        <v>13</v>
      </c>
      <c r="B16" s="5" t="n">
        <v>99.77</v>
      </c>
      <c r="C16" s="5" t="n">
        <v>158.86</v>
      </c>
      <c r="D16" s="5" t="n">
        <v>239.68</v>
      </c>
      <c r="E16" s="6" t="n">
        <f aca="false">($B$3-B16)/$B$3</f>
        <v>0.0151036525172754</v>
      </c>
    </row>
    <row r="17" customFormat="false" ht="15" hidden="false" customHeight="false" outlineLevel="0" collapsed="false">
      <c r="A17" s="14" t="n">
        <v>14</v>
      </c>
      <c r="B17" s="5" t="n">
        <v>99.77</v>
      </c>
      <c r="C17" s="5" t="n">
        <v>155.33</v>
      </c>
      <c r="D17" s="5" t="n">
        <v>214.71</v>
      </c>
      <c r="E17" s="6" t="n">
        <f aca="false">($B$3-B17)/$B$3</f>
        <v>0.0151036525172754</v>
      </c>
    </row>
    <row r="18" customFormat="false" ht="15" hidden="false" customHeight="false" outlineLevel="0" collapsed="false">
      <c r="A18" s="14" t="n">
        <v>15</v>
      </c>
      <c r="B18" s="5" t="n">
        <v>99.77</v>
      </c>
      <c r="C18" s="5" t="n">
        <v>152.95</v>
      </c>
      <c r="D18" s="5" t="n">
        <v>214.65</v>
      </c>
      <c r="E18" s="6" t="n">
        <f aca="false">($B$3-B18)/$B$3</f>
        <v>0.0151036525172754</v>
      </c>
    </row>
    <row r="19" customFormat="false" ht="15" hidden="false" customHeight="false" outlineLevel="0" collapsed="false">
      <c r="A19" s="14" t="n">
        <v>16</v>
      </c>
      <c r="B19" s="5" t="n">
        <v>99.77</v>
      </c>
      <c r="C19" s="5" t="n">
        <v>154.61</v>
      </c>
      <c r="D19" s="5" t="n">
        <v>201.84</v>
      </c>
      <c r="E19" s="6" t="n">
        <f aca="false">($B$3-B19)/$B$3</f>
        <v>0.0151036525172754</v>
      </c>
    </row>
    <row r="20" customFormat="false" ht="15" hidden="false" customHeight="false" outlineLevel="0" collapsed="false">
      <c r="A20" s="14" t="n">
        <v>17</v>
      </c>
      <c r="B20" s="5" t="n">
        <v>99.77</v>
      </c>
      <c r="C20" s="5" t="n">
        <v>155.71</v>
      </c>
      <c r="D20" s="5" t="n">
        <v>213.02</v>
      </c>
      <c r="E20" s="6" t="n">
        <f aca="false">($B$3-B20)/$B$3</f>
        <v>0.0151036525172754</v>
      </c>
    </row>
    <row r="21" customFormat="false" ht="15" hidden="false" customHeight="false" outlineLevel="0" collapsed="false">
      <c r="A21" s="14" t="n">
        <v>18</v>
      </c>
      <c r="B21" s="5" t="n">
        <v>99.77</v>
      </c>
      <c r="C21" s="5" t="n">
        <v>155.57</v>
      </c>
      <c r="D21" s="5" t="n">
        <v>213.01</v>
      </c>
      <c r="E21" s="6" t="n">
        <f aca="false">($B$3-B21)/$B$3</f>
        <v>0.0151036525172754</v>
      </c>
    </row>
    <row r="22" customFormat="false" ht="15" hidden="false" customHeight="false" outlineLevel="0" collapsed="false">
      <c r="A22" s="14" t="n">
        <v>19</v>
      </c>
      <c r="B22" s="5" t="n">
        <v>99.77</v>
      </c>
      <c r="C22" s="5" t="n">
        <v>156</v>
      </c>
      <c r="D22" s="5" t="n">
        <v>214.69</v>
      </c>
      <c r="E22" s="6" t="n">
        <f aca="false">($B$3-B22)/$B$3</f>
        <v>0.0151036525172754</v>
      </c>
    </row>
    <row r="23" customFormat="false" ht="15" hidden="false" customHeight="false" outlineLevel="0" collapsed="false">
      <c r="A23" s="14" t="n">
        <v>20</v>
      </c>
      <c r="B23" s="5" t="n">
        <v>99.77</v>
      </c>
      <c r="C23" s="5" t="n">
        <v>155.64</v>
      </c>
      <c r="D23" s="5" t="n">
        <v>227.97</v>
      </c>
      <c r="E23" s="6" t="n">
        <f aca="false">($B$3-B23)/$B$3</f>
        <v>0.0151036525172754</v>
      </c>
    </row>
    <row r="24" customFormat="false" ht="15" hidden="false" customHeight="false" outlineLevel="0" collapsed="false">
      <c r="A24" s="14" t="n">
        <v>21</v>
      </c>
      <c r="B24" s="5" t="n">
        <v>99.77</v>
      </c>
      <c r="C24" s="5" t="n">
        <v>157.91</v>
      </c>
      <c r="D24" s="5" t="n">
        <v>214.21</v>
      </c>
      <c r="E24" s="6" t="n">
        <f aca="false">($B$3-B24)/$B$3</f>
        <v>0.0151036525172754</v>
      </c>
    </row>
    <row r="25" customFormat="false" ht="15" hidden="false" customHeight="false" outlineLevel="0" collapsed="false">
      <c r="A25" s="14" t="n">
        <v>22</v>
      </c>
      <c r="B25" s="5" t="n">
        <v>99.77</v>
      </c>
      <c r="C25" s="5" t="n">
        <v>156.11</v>
      </c>
      <c r="D25" s="5" t="n">
        <v>211.6</v>
      </c>
      <c r="E25" s="6" t="n">
        <f aca="false">($B$3-B25)/$B$3</f>
        <v>0.0151036525172754</v>
      </c>
    </row>
    <row r="26" customFormat="false" ht="15" hidden="false" customHeight="false" outlineLevel="0" collapsed="false">
      <c r="A26" s="14" t="n">
        <v>23</v>
      </c>
      <c r="B26" s="5" t="n">
        <v>99.77</v>
      </c>
      <c r="C26" s="5" t="n">
        <v>154.94</v>
      </c>
      <c r="D26" s="5" t="n">
        <v>210.84</v>
      </c>
      <c r="E26" s="6" t="n">
        <f aca="false">($B$3-B26)/$B$3</f>
        <v>0.0151036525172754</v>
      </c>
    </row>
    <row r="27" customFormat="false" ht="15" hidden="false" customHeight="false" outlineLevel="0" collapsed="false">
      <c r="A27" s="14" t="n">
        <v>24</v>
      </c>
      <c r="B27" s="5" t="n">
        <v>99.77</v>
      </c>
      <c r="C27" s="5" t="n">
        <v>153.02</v>
      </c>
      <c r="D27" s="5" t="n">
        <v>199.11</v>
      </c>
      <c r="E27" s="6" t="n">
        <f aca="false">($B$3-B27)/$B$3</f>
        <v>0.0151036525172754</v>
      </c>
    </row>
    <row r="28" customFormat="false" ht="15" hidden="false" customHeight="false" outlineLevel="0" collapsed="false">
      <c r="A28" s="14" t="n">
        <v>25</v>
      </c>
      <c r="B28" s="5" t="n">
        <v>99.77</v>
      </c>
      <c r="C28" s="5" t="n">
        <v>154.38</v>
      </c>
      <c r="D28" s="5" t="n">
        <v>209.3</v>
      </c>
      <c r="E28" s="6" t="n">
        <f aca="false">($B$3-B28)/$B$3</f>
        <v>0.0151036525172754</v>
      </c>
    </row>
    <row r="29" customFormat="false" ht="15" hidden="false" customHeight="false" outlineLevel="0" collapsed="false">
      <c r="A29" s="14" t="n">
        <v>26</v>
      </c>
      <c r="B29" s="5" t="n">
        <v>97.79</v>
      </c>
      <c r="C29" s="5" t="n">
        <v>154.32</v>
      </c>
      <c r="D29" s="5" t="n">
        <v>215.13</v>
      </c>
      <c r="E29" s="6" t="n">
        <f aca="false">($B$3-B29)/$B$3</f>
        <v>0.0346495557749259</v>
      </c>
    </row>
    <row r="30" customFormat="false" ht="15" hidden="false" customHeight="false" outlineLevel="0" collapsed="false">
      <c r="A30" s="14" t="n">
        <v>27</v>
      </c>
      <c r="B30" s="5" t="n">
        <v>97.79</v>
      </c>
      <c r="C30" s="5" t="n">
        <v>154.58</v>
      </c>
      <c r="D30" s="5" t="n">
        <v>212.38</v>
      </c>
      <c r="E30" s="6" t="n">
        <f aca="false">($B$3-B30)/$B$3</f>
        <v>0.0346495557749259</v>
      </c>
    </row>
    <row r="31" customFormat="false" ht="15" hidden="false" customHeight="false" outlineLevel="0" collapsed="false">
      <c r="A31" s="14" t="n">
        <v>28</v>
      </c>
      <c r="B31" s="5" t="n">
        <v>97.79</v>
      </c>
      <c r="C31" s="5" t="n">
        <v>158.7</v>
      </c>
      <c r="D31" s="5" t="n">
        <v>214.67</v>
      </c>
      <c r="E31" s="6" t="n">
        <f aca="false">($B$3-B31)/$B$3</f>
        <v>0.0346495557749259</v>
      </c>
    </row>
    <row r="32" customFormat="false" ht="15" hidden="false" customHeight="false" outlineLevel="0" collapsed="false">
      <c r="A32" s="14" t="n">
        <v>29</v>
      </c>
      <c r="B32" s="5" t="n">
        <v>97.79</v>
      </c>
      <c r="C32" s="5" t="n">
        <v>159.92</v>
      </c>
      <c r="D32" s="5" t="n">
        <v>221.93</v>
      </c>
      <c r="E32" s="6" t="n">
        <f aca="false">($B$3-B32)/$B$3</f>
        <v>0.0346495557749259</v>
      </c>
    </row>
    <row r="33" customFormat="false" ht="15" hidden="false" customHeight="false" outlineLevel="0" collapsed="false">
      <c r="A33" s="14" t="n">
        <v>30</v>
      </c>
      <c r="B33" s="5" t="n">
        <v>97.79</v>
      </c>
      <c r="C33" s="5" t="n">
        <v>158.85</v>
      </c>
      <c r="D33" s="5" t="n">
        <v>230.44</v>
      </c>
      <c r="E33" s="6" t="n">
        <f aca="false">($B$3-B33)/$B$3</f>
        <v>0.0346495557749259</v>
      </c>
    </row>
    <row r="35" customFormat="false" ht="15" hidden="false" customHeight="false" outlineLevel="0" collapsed="false">
      <c r="A35" s="15" t="s">
        <v>33</v>
      </c>
      <c r="B35" s="13" t="n">
        <f aca="false">MIN(B3:B33)</f>
        <v>97.79</v>
      </c>
      <c r="C35" s="13" t="n">
        <f aca="false">MIN(C3:C33)</f>
        <v>151.3</v>
      </c>
      <c r="D35" s="13" t="n">
        <f aca="false">MIN(D3:D33)</f>
        <v>199.11</v>
      </c>
    </row>
    <row r="36" customFormat="false" ht="15" hidden="false" customHeight="false" outlineLevel="0" collapsed="false">
      <c r="A36" s="15" t="s">
        <v>34</v>
      </c>
      <c r="B36" s="13" t="n">
        <f aca="false">MAX(B3:B33)</f>
        <v>101.3</v>
      </c>
      <c r="C36" s="13" t="n">
        <f aca="false">MAX(C3:C33)</f>
        <v>236.51</v>
      </c>
      <c r="D36" s="13" t="n">
        <f aca="false">MAX(D3:D33)</f>
        <v>315.36</v>
      </c>
    </row>
    <row r="38" customFormat="false" ht="15" hidden="false" customHeight="false" outlineLevel="0" collapsed="false">
      <c r="A38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0" hidden="false" customHeight="tru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customFormat="false" ht="15" hidden="false" customHeight="false" outlineLevel="0" collapsed="false">
      <c r="A5" s="16" t="n">
        <v>42</v>
      </c>
      <c r="B5" s="5" t="n">
        <v>107.45</v>
      </c>
      <c r="C5" s="5" t="n">
        <v>97.79</v>
      </c>
      <c r="D5" s="13" t="n">
        <f aca="false">B5-C5</f>
        <v>9.66</v>
      </c>
      <c r="E5" s="6" t="n">
        <f aca="false">D5/B5</f>
        <v>0.0899022801302931</v>
      </c>
      <c r="F5" s="17" t="str">
        <f aca="false">IF(C5&lt;B5,"Sí","No")</f>
        <v>Sí</v>
      </c>
    </row>
    <row r="6" customFormat="false" ht="15" hidden="false" customHeight="false" outlineLevel="0" collapsed="false">
      <c r="A6" s="16" t="n">
        <v>1</v>
      </c>
      <c r="B6" s="5" t="n">
        <v>88.35</v>
      </c>
      <c r="C6" s="5" t="n">
        <v>85.41</v>
      </c>
      <c r="D6" s="13" t="n">
        <f aca="false">B6-C6</f>
        <v>2.94</v>
      </c>
      <c r="E6" s="6" t="n">
        <f aca="false">D6/B6</f>
        <v>0.033276740237691</v>
      </c>
      <c r="F6" s="17" t="str">
        <f aca="false">IF(C6&lt;B6,"Sí","No")</f>
        <v>Sí</v>
      </c>
    </row>
    <row r="7" customFormat="false" ht="15" hidden="false" customHeight="false" outlineLevel="0" collapsed="false">
      <c r="A7" s="16" t="n">
        <v>7</v>
      </c>
      <c r="B7" s="5" t="n">
        <v>102.68</v>
      </c>
      <c r="C7" s="5" t="n">
        <v>98.14</v>
      </c>
      <c r="D7" s="13" t="n">
        <f aca="false">B7-C7</f>
        <v>4.54000000000001</v>
      </c>
      <c r="E7" s="6" t="n">
        <f aca="false">D7/B7</f>
        <v>0.0442150370081808</v>
      </c>
      <c r="F7" s="17" t="str">
        <f aca="false">IF(C7&lt;B7,"Sí","No")</f>
        <v>Sí</v>
      </c>
    </row>
    <row r="8" customFormat="false" ht="15" hidden="false" customHeight="false" outlineLevel="0" collapsed="false">
      <c r="A8" s="16" t="n">
        <v>123</v>
      </c>
      <c r="B8" s="5" t="n">
        <v>114.9</v>
      </c>
      <c r="C8" s="5" t="n">
        <v>104.65</v>
      </c>
      <c r="D8" s="13" t="n">
        <f aca="false">B8-C8</f>
        <v>10.25</v>
      </c>
      <c r="E8" s="6" t="n">
        <f aca="false">D8/B8</f>
        <v>0.0892080069625762</v>
      </c>
      <c r="F8" s="17" t="str">
        <f aca="false">IF(C8&lt;B8,"Sí","No")</f>
        <v>Sí</v>
      </c>
    </row>
    <row r="9" customFormat="false" ht="15" hidden="false" customHeight="false" outlineLevel="0" collapsed="false">
      <c r="A9" s="16" t="n">
        <v>2024</v>
      </c>
      <c r="B9" s="5" t="n">
        <v>91.41</v>
      </c>
      <c r="C9" s="5" t="n">
        <v>86.02</v>
      </c>
      <c r="D9" s="13" t="n">
        <f aca="false">B9-C9</f>
        <v>5.39</v>
      </c>
      <c r="E9" s="6" t="n">
        <f aca="false">D9/B9</f>
        <v>0.0589651022864019</v>
      </c>
      <c r="F9" s="17" t="str">
        <f aca="false">IF(C9&lt;B9,"Sí","No")</f>
        <v>Sí</v>
      </c>
    </row>
    <row r="10" customFormat="false" ht="15" hidden="false" customHeight="false" outlineLevel="0" collapsed="false">
      <c r="A10" s="16" t="n">
        <v>99</v>
      </c>
      <c r="B10" s="5" t="n">
        <v>107.62</v>
      </c>
      <c r="C10" s="5" t="n">
        <v>106.08</v>
      </c>
      <c r="D10" s="13" t="n">
        <f aca="false">B10-C10</f>
        <v>1.54000000000001</v>
      </c>
      <c r="E10" s="6" t="n">
        <f aca="false">D10/B10</f>
        <v>0.0143096078795763</v>
      </c>
      <c r="F10" s="17" t="str">
        <f aca="false">IF(C10&lt;B10,"Sí","No")</f>
        <v>Sí</v>
      </c>
    </row>
    <row r="12" customFormat="false" ht="15" hidden="false" customHeight="false" outlineLevel="0" collapsed="false">
      <c r="A12" s="3" t="s">
        <v>44</v>
      </c>
      <c r="B12" s="3" t="s">
        <v>11</v>
      </c>
    </row>
    <row r="13" customFormat="false" ht="15" hidden="false" customHeight="false" outlineLevel="0" collapsed="false">
      <c r="A13" s="4" t="s">
        <v>45</v>
      </c>
      <c r="B13" s="18" t="n">
        <f aca="false">COUNT(A5:A10)</f>
        <v>6</v>
      </c>
    </row>
    <row r="14" customFormat="false" ht="15" hidden="false" customHeight="false" outlineLevel="0" collapsed="false">
      <c r="A14" s="4" t="s">
        <v>46</v>
      </c>
      <c r="B14" s="18" t="n">
        <f aca="false">COUNTIF(F5:F10,"Sí")</f>
        <v>6</v>
      </c>
    </row>
    <row r="15" customFormat="false" ht="15" hidden="false" customHeight="false" outlineLevel="0" collapsed="false">
      <c r="A15" s="4" t="s">
        <v>47</v>
      </c>
      <c r="B15" s="6" t="n">
        <f aca="false">AVERAGE(E5:E10)</f>
        <v>0.0549794624174532</v>
      </c>
    </row>
    <row r="16" customFormat="false" ht="15" hidden="false" customHeight="false" outlineLevel="0" collapsed="false">
      <c r="A16" s="4" t="s">
        <v>48</v>
      </c>
      <c r="B16" s="6" t="n">
        <f aca="false">MIN(E5:E10)</f>
        <v>0.0143096078795763</v>
      </c>
    </row>
    <row r="17" customFormat="false" ht="15" hidden="false" customHeight="false" outlineLevel="0" collapsed="false">
      <c r="A17" s="4" t="s">
        <v>49</v>
      </c>
      <c r="B17" s="6" t="n">
        <f aca="false">MAX(E5:E10)</f>
        <v>0.0899022801302931</v>
      </c>
    </row>
    <row r="18" customFormat="false" ht="15" hidden="false" customHeight="false" outlineLevel="0" collapsed="false">
      <c r="A18" s="4" t="s">
        <v>50</v>
      </c>
      <c r="B18" s="13" t="n">
        <f aca="false">AVERAGE(D5:D10)</f>
        <v>5.72</v>
      </c>
    </row>
    <row r="20" customFormat="false" ht="15" hidden="false" customHeight="false" outlineLevel="0" collapsed="false">
      <c r="A20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52</v>
      </c>
    </row>
    <row r="3" customFormat="false" ht="15" hidden="false" customHeight="false" outlineLevel="0" collapsed="false">
      <c r="A3" s="3" t="s">
        <v>53</v>
      </c>
      <c r="B3" s="3" t="s">
        <v>11</v>
      </c>
      <c r="C3" s="3" t="s">
        <v>54</v>
      </c>
    </row>
    <row r="4" customFormat="false" ht="15" hidden="false" customHeight="false" outlineLevel="0" collapsed="false">
      <c r="A4" s="4" t="s">
        <v>55</v>
      </c>
      <c r="B4" s="16" t="n">
        <v>25</v>
      </c>
      <c r="C4" s="12" t="s">
        <v>56</v>
      </c>
    </row>
    <row r="5" customFormat="false" ht="15" hidden="false" customHeight="false" outlineLevel="0" collapsed="false">
      <c r="A5" s="4" t="s">
        <v>57</v>
      </c>
      <c r="B5" s="16" t="n">
        <v>200</v>
      </c>
      <c r="C5" s="12" t="s">
        <v>58</v>
      </c>
    </row>
    <row r="6" customFormat="false" ht="15" hidden="false" customHeight="false" outlineLevel="0" collapsed="false">
      <c r="A6" s="4" t="s">
        <v>59</v>
      </c>
      <c r="B6" s="16" t="n">
        <v>30</v>
      </c>
      <c r="C6" s="12" t="s">
        <v>60</v>
      </c>
    </row>
    <row r="7" customFormat="false" ht="15" hidden="false" customHeight="false" outlineLevel="0" collapsed="false">
      <c r="A7" s="4" t="s">
        <v>61</v>
      </c>
      <c r="B7" s="19" t="n">
        <v>0.9</v>
      </c>
      <c r="C7" s="12" t="s">
        <v>62</v>
      </c>
    </row>
    <row r="8" customFormat="false" ht="15" hidden="false" customHeight="false" outlineLevel="0" collapsed="false">
      <c r="A8" s="4" t="s">
        <v>63</v>
      </c>
      <c r="B8" s="19" t="n">
        <v>0.4</v>
      </c>
      <c r="C8" s="12" t="s">
        <v>64</v>
      </c>
    </row>
    <row r="9" customFormat="false" ht="15" hidden="false" customHeight="false" outlineLevel="0" collapsed="false">
      <c r="A9" s="4" t="s">
        <v>65</v>
      </c>
      <c r="B9" s="16" t="n">
        <v>3</v>
      </c>
      <c r="C9" s="12" t="s">
        <v>66</v>
      </c>
    </row>
    <row r="10" customFormat="false" ht="15" hidden="false" customHeight="false" outlineLevel="0" collapsed="false">
      <c r="A10" s="4" t="s">
        <v>67</v>
      </c>
      <c r="B10" s="16" t="n">
        <v>2</v>
      </c>
      <c r="C10" s="12" t="s">
        <v>68</v>
      </c>
    </row>
    <row r="11" customFormat="false" ht="15" hidden="false" customHeight="false" outlineLevel="0" collapsed="false">
      <c r="A11" s="4" t="s">
        <v>69</v>
      </c>
      <c r="B11" s="19" t="n">
        <v>0.25</v>
      </c>
      <c r="C11" s="12" t="s">
        <v>70</v>
      </c>
    </row>
    <row r="12" customFormat="false" ht="15" hidden="false" customHeight="false" outlineLevel="0" collapsed="false">
      <c r="A12" s="15" t="s">
        <v>71</v>
      </c>
      <c r="B12" s="14" t="n">
        <f aca="false">B5*B11</f>
        <v>50</v>
      </c>
      <c r="C12" s="12" t="s">
        <v>72</v>
      </c>
    </row>
    <row r="14" customFormat="false" ht="15" hidden="false" customHeight="false" outlineLevel="0" collapsed="false">
      <c r="A14" s="3" t="s">
        <v>73</v>
      </c>
      <c r="B14" s="3" t="s">
        <v>74</v>
      </c>
      <c r="C14" s="3" t="s">
        <v>75</v>
      </c>
    </row>
    <row r="15" customFormat="false" ht="27.75" hidden="false" customHeight="true" outlineLevel="0" collapsed="false">
      <c r="A15" s="15" t="s">
        <v>76</v>
      </c>
      <c r="B15" s="12" t="s">
        <v>77</v>
      </c>
      <c r="C15" s="12" t="s">
        <v>78</v>
      </c>
    </row>
    <row r="16" customFormat="false" ht="27.75" hidden="false" customHeight="true" outlineLevel="0" collapsed="false">
      <c r="A16" s="15" t="s">
        <v>79</v>
      </c>
      <c r="B16" s="12" t="s">
        <v>80</v>
      </c>
      <c r="C16" s="12" t="s">
        <v>81</v>
      </c>
    </row>
    <row r="17" customFormat="false" ht="27.75" hidden="false" customHeight="true" outlineLevel="0" collapsed="false">
      <c r="A17" s="15" t="s">
        <v>82</v>
      </c>
      <c r="B17" s="12" t="s">
        <v>83</v>
      </c>
      <c r="C17" s="12" t="s">
        <v>84</v>
      </c>
    </row>
    <row r="18" customFormat="false" ht="27.75" hidden="false" customHeight="true" outlineLevel="0" collapsed="false">
      <c r="A18" s="15" t="s">
        <v>85</v>
      </c>
      <c r="B18" s="12" t="s">
        <v>86</v>
      </c>
      <c r="C18" s="12" t="s">
        <v>87</v>
      </c>
    </row>
    <row r="19" customFormat="false" ht="27.75" hidden="false" customHeight="true" outlineLevel="0" collapsed="false">
      <c r="A19" s="15" t="s">
        <v>88</v>
      </c>
      <c r="B19" s="12" t="s">
        <v>89</v>
      </c>
      <c r="C19" s="12" t="s">
        <v>90</v>
      </c>
    </row>
    <row r="20" customFormat="false" ht="27.75" hidden="false" customHeight="true" outlineLevel="0" collapsed="false">
      <c r="A20" s="15" t="s">
        <v>91</v>
      </c>
      <c r="B20" s="12" t="s">
        <v>92</v>
      </c>
      <c r="C20" s="12" t="s">
        <v>93</v>
      </c>
    </row>
    <row r="22" customFormat="false" ht="15" hidden="false" customHeight="false" outlineLevel="0" collapsed="false">
      <c r="A22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2026-10-28T05:24:15Z</dcterms:created>
  <dc:creator>openpyxl</dc:creator>
  <dc:description/>
  <dc:language>en-US</dc:language>
  <cp:lastModifiedBy/>
  <dcterms:modified xsi:type="dcterms:W3CDTF">2026-10-28T05:24:18Z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